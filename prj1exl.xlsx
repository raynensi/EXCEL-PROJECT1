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1e9435e696fda9/Documents/"/>
    </mc:Choice>
  </mc:AlternateContent>
  <xr:revisionPtr revIDLastSave="424" documentId="8_{6897D2AA-7999-4C57-930D-10882024305C}" xr6:coauthVersionLast="47" xr6:coauthVersionMax="47" xr10:uidLastSave="{4B179118-8E1C-4C70-B378-96C9CA7F541A}"/>
  <bookViews>
    <workbookView xWindow="-120" yWindow="-120" windowWidth="20730" windowHeight="11160" xr2:uid="{2D7C9709-9904-4964-8A2D-2329DC797AAA}"/>
  </bookViews>
  <sheets>
    <sheet name="student" sheetId="1" r:id="rId1"/>
    <sheet name="product" sheetId="2" r:id="rId2"/>
    <sheet name="employee" sheetId="3" r:id="rId3"/>
  </sheets>
  <definedNames>
    <definedName name="_xlnm._FilterDatabase" localSheetId="0" hidden="1">student!$A$3:$G$14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 a="1"/>
  <c r="A20" i="1" s="1"/>
  <c r="B18" i="1"/>
  <c r="G5" i="3"/>
  <c r="G6" i="3"/>
  <c r="G7" i="3"/>
  <c r="G8" i="3"/>
  <c r="G9" i="3"/>
  <c r="G10" i="3"/>
  <c r="G4" i="3"/>
  <c r="B13" i="2"/>
  <c r="A32" i="3"/>
  <c r="G8" i="2"/>
  <c r="G3" i="2"/>
  <c r="G4" i="2"/>
  <c r="G5" i="2"/>
  <c r="G6" i="2"/>
  <c r="G7" i="2"/>
  <c r="G2" i="2"/>
  <c r="H9" i="2"/>
  <c r="F3" i="2"/>
  <c r="F4" i="2"/>
  <c r="F5" i="2"/>
  <c r="F6" i="2"/>
  <c r="F7" i="2"/>
  <c r="F8" i="2"/>
  <c r="F2" i="2"/>
  <c r="B28" i="3"/>
  <c r="K5" i="3"/>
  <c r="K6" i="3"/>
  <c r="K7" i="3"/>
  <c r="K8" i="3"/>
  <c r="K9" i="3"/>
  <c r="K10" i="3"/>
  <c r="K4" i="3"/>
  <c r="G5" i="1"/>
  <c r="G6" i="1"/>
  <c r="G7" i="1"/>
  <c r="G8" i="1"/>
  <c r="G9" i="1"/>
  <c r="G10" i="1"/>
  <c r="G11" i="1"/>
  <c r="G12" i="1"/>
  <c r="G13" i="1"/>
  <c r="G4" i="1"/>
  <c r="D22" i="3"/>
  <c r="A26" i="3"/>
  <c r="A22" i="3"/>
  <c r="H17" i="3"/>
  <c r="F17" i="3"/>
  <c r="E17" i="3"/>
  <c r="D17" i="3"/>
  <c r="C17" i="3"/>
  <c r="B17" i="3"/>
  <c r="B14" i="3"/>
  <c r="B13" i="3"/>
  <c r="E13" i="3"/>
  <c r="I10" i="3"/>
  <c r="H10" i="3"/>
  <c r="F10" i="3"/>
  <c r="I9" i="3"/>
  <c r="H9" i="3"/>
  <c r="F9" i="3"/>
  <c r="I8" i="3"/>
  <c r="H8" i="3"/>
  <c r="F8" i="3"/>
  <c r="I7" i="3"/>
  <c r="H7" i="3"/>
  <c r="F7" i="3"/>
  <c r="I6" i="3"/>
  <c r="H6" i="3"/>
  <c r="F6" i="3"/>
  <c r="I5" i="3"/>
  <c r="H5" i="3"/>
  <c r="F5" i="3"/>
  <c r="I4" i="3"/>
  <c r="H4" i="3"/>
  <c r="F4" i="3"/>
  <c r="E5" i="1"/>
  <c r="E6" i="1"/>
  <c r="E7" i="1"/>
  <c r="E8" i="1"/>
  <c r="E9" i="1"/>
  <c r="E10" i="1"/>
  <c r="E11" i="1"/>
  <c r="E12" i="1"/>
  <c r="E13" i="1"/>
  <c r="E4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4" i="1"/>
  <c r="F4" i="1" s="1"/>
  <c r="H6" i="1" l="1" a="1"/>
  <c r="H6" i="1" s="1"/>
  <c r="M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<sst xmlns="http://schemas.openxmlformats.org/spreadsheetml/2006/main" count="113" uniqueCount="98">
  <si>
    <t>Student Name</t>
  </si>
  <si>
    <t>Marks</t>
  </si>
  <si>
    <t>Grade</t>
  </si>
  <si>
    <t>Result</t>
  </si>
  <si>
    <t>Aarav</t>
  </si>
  <si>
    <t>Riya</t>
  </si>
  <si>
    <t>Neha</t>
  </si>
  <si>
    <t>Rahul</t>
  </si>
  <si>
    <t>Priya</t>
  </si>
  <si>
    <t>Karan</t>
  </si>
  <si>
    <t>Meera</t>
  </si>
  <si>
    <t>Yash</t>
  </si>
  <si>
    <t>Ananya</t>
  </si>
  <si>
    <t>Dev</t>
  </si>
  <si>
    <t>Product ID</t>
  </si>
  <si>
    <t>Product Name</t>
  </si>
  <si>
    <t>Category</t>
  </si>
  <si>
    <t>Price</t>
  </si>
  <si>
    <t>Quantity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</si>
  <si>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</si>
  <si>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</si>
  <si>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</si>
  <si>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</si>
  <si>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</si>
  <si>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</si>
  <si>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</si>
  <si>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</si>
  <si>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</si>
  <si>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</si>
  <si>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</si>
  <si>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Headphones</t>
  </si>
  <si>
    <t>P106</t>
  </si>
  <si>
    <t>Printer</t>
  </si>
  <si>
    <t>P107</t>
  </si>
  <si>
    <t>Webcam</t>
  </si>
  <si>
    <t>Employee ID</t>
  </si>
  <si>
    <t>Employee Name</t>
  </si>
  <si>
    <t>Department</t>
  </si>
  <si>
    <t>Salary</t>
  </si>
  <si>
    <t>Joining Date</t>
  </si>
  <si>
    <t>E101</t>
  </si>
  <si>
    <t>Rahul Sharma</t>
  </si>
  <si>
    <t>IT</t>
  </si>
  <si>
    <t>E102</t>
  </si>
  <si>
    <t>Priya Patel</t>
  </si>
  <si>
    <t>HR</t>
  </si>
  <si>
    <t>E103</t>
  </si>
  <si>
    <t>Aarav Shah</t>
  </si>
  <si>
    <t>Sales</t>
  </si>
  <si>
    <t>E104</t>
  </si>
  <si>
    <t>Neha Mehta</t>
  </si>
  <si>
    <t>E105</t>
  </si>
  <si>
    <t>Karan Joshi</t>
  </si>
  <si>
    <t>Finance</t>
  </si>
  <si>
    <t>E106</t>
  </si>
  <si>
    <t>Riya Shah</t>
  </si>
  <si>
    <t>E107</t>
  </si>
  <si>
    <t>Yash Patel</t>
  </si>
  <si>
    <t>YEAR</t>
  </si>
  <si>
    <t>DAY</t>
  </si>
  <si>
    <t>YEAR OF SERVICE</t>
  </si>
  <si>
    <t>INDEX</t>
  </si>
  <si>
    <t>ENTER PRODUCT ID</t>
  </si>
  <si>
    <t>XMATCH</t>
  </si>
  <si>
    <t>DEPT</t>
  </si>
  <si>
    <t>EMOLOYEE NAME</t>
  </si>
  <si>
    <t>UPPER</t>
  </si>
  <si>
    <t>LOWER</t>
  </si>
  <si>
    <t>PROPER</t>
  </si>
  <si>
    <t>LEFT</t>
  </si>
  <si>
    <t>RIGHT</t>
  </si>
  <si>
    <t>LEN</t>
  </si>
  <si>
    <r>
      <t xml:space="preserve">     </t>
    </r>
    <r>
      <rPr>
        <b/>
        <sz val="11"/>
        <color theme="1"/>
        <rFont val="Aptos Narrow"/>
        <family val="2"/>
        <scheme val="minor"/>
      </rPr>
      <t xml:space="preserve">TOTAL SALARY OF IT EMPLOYEES    </t>
    </r>
    <r>
      <rPr>
        <sz val="11"/>
        <color theme="1"/>
        <rFont val="Aptos Narrow"/>
        <family val="2"/>
        <scheme val="minor"/>
      </rPr>
      <t xml:space="preserve">           </t>
    </r>
  </si>
  <si>
    <t>TOTAL SALARY OF HR EMPLOYEE</t>
  </si>
  <si>
    <r>
      <t xml:space="preserve">   </t>
    </r>
    <r>
      <rPr>
        <b/>
        <sz val="11"/>
        <color theme="1"/>
        <rFont val="Aptos Narrow"/>
        <family val="2"/>
        <scheme val="minor"/>
      </rPr>
      <t>AVERAGE SALARY OF IT EMP</t>
    </r>
  </si>
  <si>
    <t>PASSED/ NOT</t>
  </si>
  <si>
    <t xml:space="preserve">                        STUDENT ABOVE 80      </t>
  </si>
  <si>
    <t xml:space="preserve">                                              STUDENT TABLE                                                                 </t>
  </si>
  <si>
    <t>PERFORMANCE</t>
  </si>
  <si>
    <t>Column1</t>
  </si>
  <si>
    <t>Column2</t>
  </si>
  <si>
    <t>Column3</t>
  </si>
  <si>
    <t>Column4</t>
  </si>
  <si>
    <t>Column5</t>
  </si>
  <si>
    <t>Column6</t>
  </si>
  <si>
    <t>STUDENTID</t>
  </si>
  <si>
    <t>TAX RATE</t>
  </si>
  <si>
    <t>TAX</t>
  </si>
  <si>
    <t>OFFFSET</t>
  </si>
  <si>
    <t>AMOUNT</t>
  </si>
  <si>
    <t>TOTAL</t>
  </si>
  <si>
    <t>G</t>
  </si>
  <si>
    <t>H</t>
  </si>
  <si>
    <t>MONTH</t>
  </si>
  <si>
    <t>Formula</t>
  </si>
  <si>
    <t>Students scoring above 60</t>
  </si>
  <si>
    <t>INFO</t>
  </si>
  <si>
    <t>MARKS ABOVE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</si>
</sst>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/>
    <xf numFmtId="0" fontId="0" fillId="0" borderId="9" xfId="0" applyBorder="1"/>
    <xf numFmtId="0" fontId="1" fillId="0" borderId="0" xfId="0" applyFont="1"/>
    <xf numFmtId="0" fontId="1" fillId="0" borderId="9" xfId="0" applyFon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9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0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AFFA-7ADF-4144-B651-0D60773DFBAD}" name="Table1" displayName="Table1" ref="A2:G14" totalsRowShown="0" headerRowDxfId="9" dataDxfId="8" tableBorderDxfId="7">
  <tableColumns count="7">
    <tableColumn id="1" xr3:uid="{35568989-AA23-4354-9172-8FAA9499D55F}" name="                                              STUDENT TABLE                                                                 " dataDxfId="6"/>
    <tableColumn id="2" xr3:uid="{C0A6F1A4-85C2-4C44-BC8C-6FBA36E8E455}" name="Column1" dataDxfId="5"/>
    <tableColumn id="3" xr3:uid="{23D262A5-FA7E-48F5-94FC-66DAF607B3DD}" name="Column2" dataDxfId="4"/>
    <tableColumn id="4" xr3:uid="{D2B9A079-EFC0-4D5B-877F-A74C533246F8}" name="Column3" dataDxfId="3"/>
    <tableColumn id="5" xr3:uid="{5D8D94E8-846B-45C9-9F3A-F53216B9BAEA}" name="Column4" dataDxfId="2"/>
    <tableColumn id="6" xr3:uid="{52F2D74A-9889-4F6B-8E03-7B732F833CEE}" name="Column5" dataDxfId="1"/>
    <tableColumn id="7" xr3:uid="{CEA2D092-5522-47D0-A624-2D32DECC2A86}" name="Column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A48D-F28A-4C61-A7E2-1D545F8F0D61}">
  <dimension ref="A2:K42"/>
  <sheetViews>
    <sheetView tabSelected="1" topLeftCell="A10" zoomScale="79" workbookViewId="0">
      <selection activeCell="A27" sqref="A27"/>
    </sheetView>
  </sheetViews>
  <sheetFormatPr defaultRowHeight="15" x14ac:dyDescent="0.25"/>
  <cols>
    <col min="1" max="1" width="24" customWidth="1"/>
    <col min="2" max="4" width="11.28515625" customWidth="1"/>
    <col min="5" max="6" width="20" customWidth="1"/>
    <col min="7" max="7" width="11" customWidth="1"/>
  </cols>
  <sheetData>
    <row r="2" spans="1:11" x14ac:dyDescent="0.25">
      <c r="A2" s="27" t="s">
        <v>77</v>
      </c>
      <c r="B2" s="23" t="s">
        <v>79</v>
      </c>
      <c r="C2" s="23" t="s">
        <v>80</v>
      </c>
      <c r="D2" s="23" t="s">
        <v>81</v>
      </c>
      <c r="E2" s="23" t="s">
        <v>82</v>
      </c>
      <c r="F2" s="29" t="s">
        <v>83</v>
      </c>
      <c r="G2" t="s">
        <v>84</v>
      </c>
    </row>
    <row r="3" spans="1:11" ht="30" x14ac:dyDescent="0.25">
      <c r="A3" s="30" t="s">
        <v>85</v>
      </c>
      <c r="B3" s="6" t="s">
        <v>0</v>
      </c>
      <c r="C3" s="5" t="s">
        <v>1</v>
      </c>
      <c r="D3" s="6" t="s">
        <v>2</v>
      </c>
      <c r="E3" s="6" t="s">
        <v>3</v>
      </c>
      <c r="F3" s="6" t="s">
        <v>78</v>
      </c>
      <c r="G3" s="6" t="s">
        <v>75</v>
      </c>
    </row>
    <row r="4" spans="1:11" x14ac:dyDescent="0.25">
      <c r="A4" s="31">
        <v>101</v>
      </c>
      <c r="B4" s="8" t="s">
        <v>4</v>
      </c>
      <c r="C4" s="7">
        <v>95</v>
      </c>
      <c r="D4" s="8" t="str">
        <f>IF(C4&gt;=90, "A+", IF(C4&gt;=80,"A", IF(C4&gt;=70, "B", IF(C4&gt;=60, "C", "F"))))</f>
        <v>A+</v>
      </c>
      <c r="E4" s="8" t="str">
        <f>IF(C4&gt;=40,"PASS", "FAIL")</f>
        <v>PASS</v>
      </c>
      <c r="F4" s="8" t="str">
        <f>IF(OR(C4&gt;=90, D4="A+"), "EXCELLENT", "NORMAL")</f>
        <v>EXCELLENT</v>
      </c>
      <c r="G4" s="9" t="str">
        <f>IF(AND(C4&gt;=60, C4&gt;=40),"ELIGIBLE")</f>
        <v>ELIGIBLE</v>
      </c>
      <c r="H4" s="26"/>
      <c r="I4" s="9"/>
      <c r="J4" s="9"/>
      <c r="K4" s="9"/>
    </row>
    <row r="5" spans="1:11" x14ac:dyDescent="0.25">
      <c r="A5" s="31">
        <v>102</v>
      </c>
      <c r="B5" s="8" t="s">
        <v>5</v>
      </c>
      <c r="C5" s="7">
        <v>86</v>
      </c>
      <c r="D5" s="8" t="str">
        <f t="shared" ref="D5:D13" si="0">IF(C5&gt;=90, "A+", IF(C5&gt;=80,"A", IF(C5&gt;=70, "B", IF(C5&gt;=60, "C", "F"))))</f>
        <v>A</v>
      </c>
      <c r="E5" s="8" t="str">
        <f t="shared" ref="E5:E13" si="1">IF(C5&gt;=40,"PASS", "FAIL")</f>
        <v>PASS</v>
      </c>
      <c r="F5" s="8" t="str">
        <f t="shared" ref="F5:F13" si="2">IF(OR(C5&gt;=90, D5="A+"), "EXCELLENT", "NORMAL")</f>
        <v>NORMAL</v>
      </c>
      <c r="G5" s="9" t="str">
        <f t="shared" ref="G5:G13" si="3">IF(AND(C5&gt;=60, C5&gt;=40),"ELIGIBLE")</f>
        <v>ELIGIBLE</v>
      </c>
      <c r="H5" s="27" t="s">
        <v>76</v>
      </c>
      <c r="I5" s="23"/>
      <c r="J5" s="23"/>
      <c r="K5" s="23"/>
    </row>
    <row r="6" spans="1:11" x14ac:dyDescent="0.25">
      <c r="A6" s="31">
        <v>103</v>
      </c>
      <c r="B6" s="8" t="s">
        <v>6</v>
      </c>
      <c r="C6" s="7">
        <v>74</v>
      </c>
      <c r="D6" s="8" t="str">
        <f t="shared" si="0"/>
        <v>B</v>
      </c>
      <c r="E6" s="8" t="str">
        <f t="shared" si="1"/>
        <v>PASS</v>
      </c>
      <c r="F6" s="8" t="str">
        <f t="shared" si="2"/>
        <v>NORMAL</v>
      </c>
      <c r="G6" s="9" t="str">
        <f t="shared" si="3"/>
        <v>ELIGIBLE</v>
      </c>
      <c r="H6" s="27" t="str" cm="1">
        <f t="array" ref="H6:K11">_xlfn._xlws.FILTER(A2:D11,C2:C11&gt;80,"No students found")</f>
        <v xml:space="preserve">                                              STUDENT TABLE                                                                 </v>
      </c>
      <c r="I6" s="9" t="str">
        <v>Column1</v>
      </c>
      <c r="J6" s="9" t="str">
        <v>Column2</v>
      </c>
      <c r="K6" s="9" t="str">
        <v>Column3</v>
      </c>
    </row>
    <row r="7" spans="1:11" x14ac:dyDescent="0.25">
      <c r="A7" s="31">
        <v>104</v>
      </c>
      <c r="B7" s="8" t="s">
        <v>7</v>
      </c>
      <c r="C7" s="7">
        <v>21</v>
      </c>
      <c r="D7" s="8" t="str">
        <f t="shared" si="0"/>
        <v>F</v>
      </c>
      <c r="E7" s="8" t="str">
        <f t="shared" si="1"/>
        <v>FAIL</v>
      </c>
      <c r="F7" s="8" t="str">
        <f t="shared" si="2"/>
        <v>NORMAL</v>
      </c>
      <c r="G7" s="9" t="b">
        <f t="shared" si="3"/>
        <v>0</v>
      </c>
      <c r="H7" s="27" t="str">
        <v>STUDENTID</v>
      </c>
      <c r="I7" s="9" t="str">
        <v>Student Name</v>
      </c>
      <c r="J7" s="9" t="str">
        <v>Marks</v>
      </c>
      <c r="K7" s="9" t="str">
        <v>Grade</v>
      </c>
    </row>
    <row r="8" spans="1:11" x14ac:dyDescent="0.25">
      <c r="A8" s="31">
        <v>105</v>
      </c>
      <c r="B8" s="8" t="s">
        <v>8</v>
      </c>
      <c r="C8" s="7">
        <v>48</v>
      </c>
      <c r="D8" s="8" t="str">
        <f t="shared" si="0"/>
        <v>F</v>
      </c>
      <c r="E8" s="8" t="str">
        <f t="shared" si="1"/>
        <v>PASS</v>
      </c>
      <c r="F8" s="8" t="str">
        <f t="shared" si="2"/>
        <v>NORMAL</v>
      </c>
      <c r="G8" s="9" t="b">
        <f t="shared" si="3"/>
        <v>0</v>
      </c>
      <c r="H8" s="28">
        <v>101</v>
      </c>
      <c r="I8" s="9" t="str">
        <v>Aarav</v>
      </c>
      <c r="J8" s="9">
        <v>95</v>
      </c>
      <c r="K8" s="9" t="str">
        <v>A+</v>
      </c>
    </row>
    <row r="9" spans="1:11" x14ac:dyDescent="0.25">
      <c r="A9" s="31">
        <v>106</v>
      </c>
      <c r="B9" s="8" t="s">
        <v>9</v>
      </c>
      <c r="C9" s="7">
        <v>82</v>
      </c>
      <c r="D9" s="8" t="str">
        <f t="shared" si="0"/>
        <v>A</v>
      </c>
      <c r="E9" s="8" t="str">
        <f t="shared" si="1"/>
        <v>PASS</v>
      </c>
      <c r="F9" s="8" t="str">
        <f t="shared" si="2"/>
        <v>NORMAL</v>
      </c>
      <c r="G9" s="9" t="str">
        <f t="shared" si="3"/>
        <v>ELIGIBLE</v>
      </c>
      <c r="H9" s="28">
        <v>102</v>
      </c>
      <c r="I9" s="9" t="str">
        <v>Riya</v>
      </c>
      <c r="J9" s="9">
        <v>86</v>
      </c>
      <c r="K9" s="9" t="str">
        <v>A</v>
      </c>
    </row>
    <row r="10" spans="1:11" x14ac:dyDescent="0.25">
      <c r="A10" s="31">
        <v>107</v>
      </c>
      <c r="B10" s="8" t="s">
        <v>10</v>
      </c>
      <c r="C10" s="7">
        <v>91</v>
      </c>
      <c r="D10" s="8" t="str">
        <f t="shared" si="0"/>
        <v>A+</v>
      </c>
      <c r="E10" s="8" t="str">
        <f t="shared" si="1"/>
        <v>PASS</v>
      </c>
      <c r="F10" s="8" t="str">
        <f t="shared" si="2"/>
        <v>EXCELLENT</v>
      </c>
      <c r="G10" s="9" t="str">
        <f t="shared" si="3"/>
        <v>ELIGIBLE</v>
      </c>
      <c r="H10" s="28">
        <v>106</v>
      </c>
      <c r="I10" t="str">
        <v>Karan</v>
      </c>
      <c r="J10">
        <v>82</v>
      </c>
      <c r="K10" t="str">
        <v>A</v>
      </c>
    </row>
    <row r="11" spans="1:11" x14ac:dyDescent="0.25">
      <c r="A11" s="31">
        <v>108</v>
      </c>
      <c r="B11" s="8" t="s">
        <v>11</v>
      </c>
      <c r="C11" s="7">
        <v>33</v>
      </c>
      <c r="D11" s="8" t="str">
        <f t="shared" si="0"/>
        <v>F</v>
      </c>
      <c r="E11" s="8" t="str">
        <f t="shared" si="1"/>
        <v>FAIL</v>
      </c>
      <c r="F11" s="8" t="str">
        <f t="shared" si="2"/>
        <v>NORMAL</v>
      </c>
      <c r="G11" s="9" t="b">
        <f t="shared" si="3"/>
        <v>0</v>
      </c>
      <c r="H11" s="28">
        <v>107</v>
      </c>
      <c r="I11" t="str">
        <v>Meera</v>
      </c>
      <c r="J11">
        <v>91</v>
      </c>
      <c r="K11" t="str">
        <v>A+</v>
      </c>
    </row>
    <row r="12" spans="1:11" x14ac:dyDescent="0.25">
      <c r="A12" s="31">
        <v>109</v>
      </c>
      <c r="B12" s="8" t="s">
        <v>12</v>
      </c>
      <c r="C12" s="7">
        <v>69</v>
      </c>
      <c r="D12" s="8" t="str">
        <f t="shared" si="0"/>
        <v>C</v>
      </c>
      <c r="E12" s="8" t="str">
        <f t="shared" si="1"/>
        <v>PASS</v>
      </c>
      <c r="F12" s="8" t="str">
        <f t="shared" si="2"/>
        <v>NORMAL</v>
      </c>
      <c r="G12" s="9" t="str">
        <f t="shared" si="3"/>
        <v>ELIGIBLE</v>
      </c>
    </row>
    <row r="13" spans="1:11" x14ac:dyDescent="0.25">
      <c r="A13" s="31">
        <v>110</v>
      </c>
      <c r="B13" s="8" t="s">
        <v>13</v>
      </c>
      <c r="C13" s="7">
        <v>77</v>
      </c>
      <c r="D13" s="8" t="str">
        <f t="shared" si="0"/>
        <v>B</v>
      </c>
      <c r="E13" s="8" t="str">
        <f t="shared" si="1"/>
        <v>PASS</v>
      </c>
      <c r="F13" s="8" t="str">
        <f t="shared" si="2"/>
        <v>NORMAL</v>
      </c>
      <c r="G13" s="9" t="str">
        <f t="shared" si="3"/>
        <v>ELIGIBLE</v>
      </c>
    </row>
    <row r="14" spans="1:11" x14ac:dyDescent="0.25">
      <c r="A14" s="28"/>
      <c r="B14" s="9"/>
      <c r="C14" s="9"/>
      <c r="D14" s="9"/>
      <c r="E14" s="9"/>
    </row>
    <row r="16" spans="1:11" x14ac:dyDescent="0.25">
      <c r="A16" s="38"/>
    </row>
    <row r="17" spans="1:9" x14ac:dyDescent="0.25">
      <c r="A17" s="6" t="s">
        <v>96</v>
      </c>
      <c r="B17" s="6" t="s">
        <v>94</v>
      </c>
      <c r="D17" s="3"/>
      <c r="E17" s="3"/>
    </row>
    <row r="18" spans="1:9" ht="30" x14ac:dyDescent="0.25">
      <c r="A18" s="8" t="s">
        <v>95</v>
      </c>
      <c r="B18" s="37">
        <f>COUNTIFS(C4:C13,"&gt;60")</f>
        <v>7</v>
      </c>
      <c r="D18" s="4"/>
      <c r="E18" s="36"/>
    </row>
    <row r="20" spans="1:9" x14ac:dyDescent="0.25">
      <c r="A20" s="2" t="str" cm="1">
        <f t="array" ref="A20:D25">_xlfn._xlws.FILTER(A2:D11,C2:C11&gt;80,"No students found")</f>
        <v xml:space="preserve">                                              STUDENT TABLE                                                                 </v>
      </c>
      <c r="B20" s="2" t="str">
        <v>Column1</v>
      </c>
      <c r="C20" s="26" t="str">
        <v>Column2</v>
      </c>
      <c r="D20" t="str">
        <v>Column3</v>
      </c>
    </row>
    <row r="21" spans="1:9" x14ac:dyDescent="0.25">
      <c r="A21" s="6" t="str">
        <v>STUDENTID</v>
      </c>
      <c r="B21" s="6" t="str">
        <v>Student Name</v>
      </c>
      <c r="C21" s="35" t="str">
        <v>Marks</v>
      </c>
      <c r="D21" s="35" t="str">
        <v>Grade</v>
      </c>
    </row>
    <row r="22" spans="1:9" x14ac:dyDescent="0.25">
      <c r="A22" s="33">
        <v>101</v>
      </c>
      <c r="B22" s="33" t="str">
        <v>Aarav</v>
      </c>
      <c r="C22" s="34">
        <v>95</v>
      </c>
      <c r="D22" s="34" t="str">
        <v>A+</v>
      </c>
    </row>
    <row r="23" spans="1:9" x14ac:dyDescent="0.25">
      <c r="A23" s="34">
        <v>102</v>
      </c>
      <c r="B23" s="34" t="str">
        <v>Riya</v>
      </c>
      <c r="C23" s="34">
        <v>86</v>
      </c>
      <c r="D23" s="34" t="str">
        <v>A</v>
      </c>
      <c r="E23" s="1"/>
      <c r="F23" s="1"/>
    </row>
    <row r="24" spans="1:9" x14ac:dyDescent="0.25">
      <c r="A24" s="33">
        <v>106</v>
      </c>
      <c r="B24" s="33" t="str">
        <v>Karan</v>
      </c>
      <c r="C24" s="33">
        <v>82</v>
      </c>
      <c r="D24" s="33" t="str">
        <v>A</v>
      </c>
      <c r="E24" s="1"/>
      <c r="F24" s="1"/>
    </row>
    <row r="25" spans="1:9" x14ac:dyDescent="0.25">
      <c r="A25" s="33">
        <v>107</v>
      </c>
      <c r="B25" s="33" t="str">
        <v>Meera</v>
      </c>
      <c r="C25" s="33">
        <v>91</v>
      </c>
      <c r="D25" s="33" t="str">
        <v>A+</v>
      </c>
      <c r="E25" s="1"/>
      <c r="F25" s="1"/>
    </row>
    <row r="26" spans="1:9" x14ac:dyDescent="0.25">
      <c r="A26" s="4" t="s">
        <v>97</v>
      </c>
      <c r="B26" s="4"/>
      <c r="C26" s="4"/>
      <c r="D26" s="1"/>
      <c r="E26" s="1"/>
      <c r="F26" s="1"/>
    </row>
    <row r="27" spans="1:9" x14ac:dyDescent="0.25">
      <c r="A27" s="4"/>
      <c r="B27" s="4"/>
      <c r="C27" s="4"/>
      <c r="D27" s="1"/>
      <c r="E27" s="1"/>
      <c r="F27" s="1"/>
    </row>
    <row r="30" spans="1:9" x14ac:dyDescent="0.25">
      <c r="G30" s="4"/>
    </row>
    <row r="32" spans="1:9" x14ac:dyDescent="0.25">
      <c r="A32" s="3"/>
      <c r="B32" s="3"/>
      <c r="C32" s="3"/>
      <c r="D32" s="2"/>
      <c r="E32" s="12"/>
      <c r="F32" s="12"/>
      <c r="G32" s="3"/>
      <c r="I32" s="3"/>
    </row>
    <row r="33" spans="1:8" x14ac:dyDescent="0.25">
      <c r="A33" s="4"/>
      <c r="B33" s="4"/>
      <c r="C33" s="4"/>
      <c r="D33" s="1"/>
      <c r="E33" s="13"/>
      <c r="F33" s="13"/>
    </row>
    <row r="34" spans="1:8" x14ac:dyDescent="0.25">
      <c r="A34" s="4"/>
      <c r="B34" s="4"/>
      <c r="C34" s="4"/>
      <c r="D34" s="1"/>
      <c r="E34" s="13"/>
      <c r="F34" s="13"/>
      <c r="H34" s="3"/>
    </row>
    <row r="35" spans="1:8" x14ac:dyDescent="0.25">
      <c r="A35" s="4"/>
      <c r="B35" s="4"/>
      <c r="C35" s="4"/>
      <c r="D35" s="1"/>
      <c r="E35" s="13"/>
      <c r="F35" s="13"/>
    </row>
    <row r="36" spans="1:8" x14ac:dyDescent="0.25">
      <c r="A36" s="4"/>
      <c r="B36" s="4"/>
      <c r="C36" s="4"/>
      <c r="D36" s="1"/>
      <c r="E36" s="13"/>
      <c r="F36" s="13"/>
    </row>
    <row r="37" spans="1:8" x14ac:dyDescent="0.25">
      <c r="A37" s="4"/>
      <c r="B37" s="4"/>
      <c r="C37" s="4"/>
      <c r="D37" s="1"/>
      <c r="E37" s="13"/>
      <c r="F37" s="13"/>
    </row>
    <row r="38" spans="1:8" x14ac:dyDescent="0.25">
      <c r="A38" s="4"/>
      <c r="B38" s="4"/>
      <c r="C38" s="4"/>
      <c r="D38" s="1"/>
      <c r="E38" s="13"/>
      <c r="F38" s="13"/>
    </row>
    <row r="39" spans="1:8" x14ac:dyDescent="0.25">
      <c r="A39" s="4"/>
      <c r="B39" s="4"/>
      <c r="C39" s="4"/>
      <c r="D39" s="1"/>
      <c r="E39" s="13"/>
      <c r="F39" s="13"/>
    </row>
    <row r="40" spans="1:8" x14ac:dyDescent="0.25">
      <c r="E40" s="11"/>
      <c r="F40" s="11"/>
    </row>
    <row r="41" spans="1:8" x14ac:dyDescent="0.25">
      <c r="E41" s="11"/>
      <c r="F41" s="11"/>
    </row>
    <row r="42" spans="1:8" x14ac:dyDescent="0.25">
      <c r="A4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E4BB-1F40-42EB-92D1-570C956B4A11}">
  <dimension ref="A1:H13"/>
  <sheetViews>
    <sheetView workbookViewId="0">
      <selection activeCell="D12" sqref="D12"/>
    </sheetView>
  </sheetViews>
  <sheetFormatPr defaultRowHeight="15" x14ac:dyDescent="0.25"/>
  <cols>
    <col min="8" max="8" width="9.140625" customWidth="1"/>
  </cols>
  <sheetData>
    <row r="1" spans="1:8" ht="30" x14ac:dyDescent="0.25">
      <c r="A1" s="6" t="s">
        <v>14</v>
      </c>
      <c r="B1" s="6" t="s">
        <v>15</v>
      </c>
      <c r="C1" s="6" t="s">
        <v>16</v>
      </c>
      <c r="D1" s="5" t="s">
        <v>17</v>
      </c>
      <c r="E1" s="5" t="s">
        <v>18</v>
      </c>
      <c r="F1" s="10" t="s">
        <v>89</v>
      </c>
      <c r="G1" s="10" t="s">
        <v>90</v>
      </c>
    </row>
    <row r="2" spans="1:8" ht="30" x14ac:dyDescent="0.25">
      <c r="A2" s="8" t="s">
        <v>19</v>
      </c>
      <c r="B2" s="8" t="s">
        <v>20</v>
      </c>
      <c r="C2" s="8" t="s">
        <v>21</v>
      </c>
      <c r="D2" s="7">
        <v>55000</v>
      </c>
      <c r="E2" s="7">
        <v>5</v>
      </c>
      <c r="F2">
        <f>D2*E2</f>
        <v>275000</v>
      </c>
      <c r="G2">
        <f>SUM(F2*5%)</f>
        <v>13750</v>
      </c>
    </row>
    <row r="3" spans="1:8" ht="30" x14ac:dyDescent="0.25">
      <c r="A3" s="8" t="s">
        <v>22</v>
      </c>
      <c r="B3" s="8" t="s">
        <v>23</v>
      </c>
      <c r="C3" s="8" t="s">
        <v>24</v>
      </c>
      <c r="D3" s="7">
        <v>800</v>
      </c>
      <c r="E3" s="7">
        <v>20</v>
      </c>
      <c r="F3">
        <f t="shared" ref="F3:F8" si="0">D3*E3</f>
        <v>16000</v>
      </c>
      <c r="G3">
        <f t="shared" ref="G3:G7" si="1">SUM(F3*5%)</f>
        <v>800</v>
      </c>
    </row>
    <row r="4" spans="1:8" ht="30" x14ac:dyDescent="0.25">
      <c r="A4" s="8" t="s">
        <v>25</v>
      </c>
      <c r="B4" s="8" t="s">
        <v>26</v>
      </c>
      <c r="C4" s="8" t="s">
        <v>24</v>
      </c>
      <c r="D4" s="7">
        <v>1500</v>
      </c>
      <c r="E4" s="7">
        <v>15</v>
      </c>
      <c r="F4">
        <f t="shared" si="0"/>
        <v>22500</v>
      </c>
      <c r="G4">
        <f t="shared" si="1"/>
        <v>1125</v>
      </c>
    </row>
    <row r="5" spans="1:8" ht="30" x14ac:dyDescent="0.25">
      <c r="A5" s="8" t="s">
        <v>27</v>
      </c>
      <c r="B5" s="8" t="s">
        <v>28</v>
      </c>
      <c r="C5" s="8" t="s">
        <v>21</v>
      </c>
      <c r="D5" s="7">
        <v>12000</v>
      </c>
      <c r="E5" s="7">
        <v>8</v>
      </c>
      <c r="F5">
        <f t="shared" si="0"/>
        <v>96000</v>
      </c>
      <c r="G5">
        <f t="shared" si="1"/>
        <v>4800</v>
      </c>
    </row>
    <row r="6" spans="1:8" ht="30" x14ac:dyDescent="0.25">
      <c r="A6" s="8" t="s">
        <v>29</v>
      </c>
      <c r="B6" s="8" t="s">
        <v>30</v>
      </c>
      <c r="C6" s="8" t="s">
        <v>24</v>
      </c>
      <c r="D6" s="7">
        <v>2500</v>
      </c>
      <c r="E6" s="7">
        <v>12</v>
      </c>
      <c r="F6">
        <f t="shared" si="0"/>
        <v>30000</v>
      </c>
      <c r="G6">
        <f t="shared" si="1"/>
        <v>1500</v>
      </c>
    </row>
    <row r="7" spans="1:8" ht="30" x14ac:dyDescent="0.25">
      <c r="A7" s="8" t="s">
        <v>31</v>
      </c>
      <c r="B7" s="8" t="s">
        <v>32</v>
      </c>
      <c r="C7" s="8" t="s">
        <v>21</v>
      </c>
      <c r="D7" s="7">
        <v>15000</v>
      </c>
      <c r="E7" s="7">
        <v>6</v>
      </c>
      <c r="F7">
        <f t="shared" si="0"/>
        <v>90000</v>
      </c>
      <c r="G7">
        <f t="shared" si="1"/>
        <v>4500</v>
      </c>
    </row>
    <row r="8" spans="1:8" ht="30" x14ac:dyDescent="0.25">
      <c r="A8" s="8" t="s">
        <v>33</v>
      </c>
      <c r="B8" s="8" t="s">
        <v>34</v>
      </c>
      <c r="C8" s="8" t="s">
        <v>24</v>
      </c>
      <c r="D8" s="7">
        <v>3000</v>
      </c>
      <c r="E8" s="7">
        <v>10</v>
      </c>
      <c r="F8">
        <f t="shared" si="0"/>
        <v>30000</v>
      </c>
      <c r="G8">
        <f>SUM(F8*5%)</f>
        <v>1500</v>
      </c>
    </row>
    <row r="9" spans="1:8" x14ac:dyDescent="0.25">
      <c r="H9">
        <f t="shared" ref="H9" si="2">SUM(F9-G9)</f>
        <v>0</v>
      </c>
    </row>
    <row r="11" spans="1:8" x14ac:dyDescent="0.25">
      <c r="A11" s="6" t="s">
        <v>91</v>
      </c>
      <c r="B11" s="6" t="s">
        <v>92</v>
      </c>
    </row>
    <row r="12" spans="1:8" ht="30" x14ac:dyDescent="0.25">
      <c r="A12" s="8" t="s">
        <v>14</v>
      </c>
      <c r="B12" s="8" t="s">
        <v>17</v>
      </c>
    </row>
    <row r="13" spans="1:8" x14ac:dyDescent="0.25">
      <c r="A13" s="8" t="s">
        <v>27</v>
      </c>
      <c r="B13" s="37">
        <f>VLOOKUP(A13,A2:D8,4,FALSE)</f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AD5B-E737-4618-A230-1A4301B2885B}">
  <dimension ref="A3:M32"/>
  <sheetViews>
    <sheetView topLeftCell="A4" zoomScale="110" workbookViewId="0">
      <selection activeCell="E13" sqref="E13"/>
    </sheetView>
  </sheetViews>
  <sheetFormatPr defaultRowHeight="15" x14ac:dyDescent="0.25"/>
  <cols>
    <col min="1" max="1" width="12.42578125" bestFit="1" customWidth="1"/>
    <col min="2" max="2" width="16.28515625" customWidth="1"/>
    <col min="3" max="3" width="12.5703125" customWidth="1"/>
    <col min="5" max="5" width="13.5703125" customWidth="1"/>
  </cols>
  <sheetData>
    <row r="3" spans="1:13" ht="30" x14ac:dyDescent="0.25">
      <c r="A3" s="6" t="s">
        <v>35</v>
      </c>
      <c r="B3" s="6" t="s">
        <v>36</v>
      </c>
      <c r="C3" s="6" t="s">
        <v>37</v>
      </c>
      <c r="D3" s="5" t="s">
        <v>38</v>
      </c>
      <c r="E3" s="6" t="s">
        <v>39</v>
      </c>
      <c r="F3" s="6" t="s">
        <v>58</v>
      </c>
      <c r="G3" s="6" t="s">
        <v>93</v>
      </c>
      <c r="H3" s="6" t="s">
        <v>59</v>
      </c>
      <c r="I3" s="6" t="s">
        <v>60</v>
      </c>
      <c r="J3" s="10" t="s">
        <v>86</v>
      </c>
      <c r="K3" s="10" t="s">
        <v>87</v>
      </c>
    </row>
    <row r="4" spans="1:13" x14ac:dyDescent="0.25">
      <c r="A4" s="8" t="s">
        <v>40</v>
      </c>
      <c r="B4" s="8" t="s">
        <v>41</v>
      </c>
      <c r="C4" s="8" t="s">
        <v>42</v>
      </c>
      <c r="D4" s="7">
        <v>45000</v>
      </c>
      <c r="E4" s="21">
        <v>44211</v>
      </c>
      <c r="F4" s="9">
        <f>YEAR(E4)</f>
        <v>2021</v>
      </c>
      <c r="G4" s="9">
        <f>MONTH(E4)</f>
        <v>1</v>
      </c>
      <c r="H4" s="9">
        <f>DAY(E4)</f>
        <v>15</v>
      </c>
      <c r="I4" s="9">
        <f ca="1">DATEDIF(E4, TODAY(), "Y")</f>
        <v>5</v>
      </c>
      <c r="J4" s="32">
        <v>0.1</v>
      </c>
      <c r="K4" s="10">
        <f>D4* J4</f>
        <v>4500</v>
      </c>
      <c r="M4">
        <f ca="1">M4</f>
        <v>0</v>
      </c>
    </row>
    <row r="5" spans="1:13" x14ac:dyDescent="0.25">
      <c r="A5" s="8" t="s">
        <v>43</v>
      </c>
      <c r="B5" s="8" t="s">
        <v>44</v>
      </c>
      <c r="C5" s="8" t="s">
        <v>45</v>
      </c>
      <c r="D5" s="7">
        <v>40000</v>
      </c>
      <c r="E5" s="21">
        <v>44640</v>
      </c>
      <c r="F5" s="9">
        <f>YEAR(E5)</f>
        <v>2022</v>
      </c>
      <c r="G5" s="9">
        <f t="shared" ref="G5:G10" si="0">MONTH(E5)</f>
        <v>3</v>
      </c>
      <c r="H5" s="9">
        <f>DAY(E5)</f>
        <v>20</v>
      </c>
      <c r="I5" s="9">
        <f ca="1">DATEDIF(E5, TODAY(), "Y")</f>
        <v>4</v>
      </c>
      <c r="J5" s="32">
        <v>0.1</v>
      </c>
      <c r="K5" s="10">
        <f>D5* J5</f>
        <v>4000</v>
      </c>
    </row>
    <row r="6" spans="1:13" x14ac:dyDescent="0.25">
      <c r="A6" s="8" t="s">
        <v>46</v>
      </c>
      <c r="B6" s="8" t="s">
        <v>47</v>
      </c>
      <c r="C6" s="8" t="s">
        <v>48</v>
      </c>
      <c r="D6" s="7">
        <v>38000</v>
      </c>
      <c r="E6" s="21">
        <v>44022</v>
      </c>
      <c r="F6" s="9">
        <f>YEAR(E6)</f>
        <v>2020</v>
      </c>
      <c r="G6" s="9">
        <f t="shared" si="0"/>
        <v>7</v>
      </c>
      <c r="H6" s="9">
        <f>DAY(E6)</f>
        <v>10</v>
      </c>
      <c r="I6" s="9">
        <f ca="1">DATEDIF(E6, TODAY(), "Y")</f>
        <v>6</v>
      </c>
      <c r="J6" s="32">
        <v>0.1</v>
      </c>
      <c r="K6" s="10">
        <f>D6* J6</f>
        <v>3800</v>
      </c>
    </row>
    <row r="7" spans="1:13" x14ac:dyDescent="0.25">
      <c r="A7" s="8" t="s">
        <v>49</v>
      </c>
      <c r="B7" s="8" t="s">
        <v>50</v>
      </c>
      <c r="C7" s="8" t="s">
        <v>42</v>
      </c>
      <c r="D7" s="7">
        <v>52000</v>
      </c>
      <c r="E7" s="21">
        <v>43713</v>
      </c>
      <c r="F7" s="9">
        <f>YEAR(E7)</f>
        <v>2019</v>
      </c>
      <c r="G7" s="9">
        <f t="shared" si="0"/>
        <v>9</v>
      </c>
      <c r="H7" s="9">
        <f>DAY(E7)</f>
        <v>5</v>
      </c>
      <c r="I7" s="9">
        <f ca="1">DATEDIF(E7, TODAY(), "Y")</f>
        <v>7</v>
      </c>
      <c r="J7" s="32">
        <v>0.1</v>
      </c>
      <c r="K7" s="10">
        <f>D7* J7</f>
        <v>5200</v>
      </c>
    </row>
    <row r="8" spans="1:13" x14ac:dyDescent="0.25">
      <c r="A8" s="8" t="s">
        <v>51</v>
      </c>
      <c r="B8" s="8" t="s">
        <v>52</v>
      </c>
      <c r="C8" s="8" t="s">
        <v>53</v>
      </c>
      <c r="D8" s="7">
        <v>48000</v>
      </c>
      <c r="E8" s="21">
        <v>44518</v>
      </c>
      <c r="F8" s="9">
        <f>YEAR(E8)</f>
        <v>2021</v>
      </c>
      <c r="G8" s="9">
        <f t="shared" si="0"/>
        <v>11</v>
      </c>
      <c r="H8" s="9">
        <f>DAY(E8)</f>
        <v>18</v>
      </c>
      <c r="I8" s="9">
        <f ca="1">DATEDIF(E8, TODAY(), "Y")</f>
        <v>4</v>
      </c>
      <c r="J8" s="32">
        <v>0.1</v>
      </c>
      <c r="K8" s="10">
        <f>D8* J8</f>
        <v>4800</v>
      </c>
    </row>
    <row r="9" spans="1:13" x14ac:dyDescent="0.25">
      <c r="A9" s="8" t="s">
        <v>54</v>
      </c>
      <c r="B9" s="8" t="s">
        <v>55</v>
      </c>
      <c r="C9" s="8" t="s">
        <v>45</v>
      </c>
      <c r="D9" s="7">
        <v>42000</v>
      </c>
      <c r="E9" s="21">
        <v>44982</v>
      </c>
      <c r="F9" s="9">
        <f>YEAR(E9)</f>
        <v>2023</v>
      </c>
      <c r="G9" s="9">
        <f t="shared" si="0"/>
        <v>2</v>
      </c>
      <c r="H9" s="9">
        <f>DAY(E9)</f>
        <v>25</v>
      </c>
      <c r="I9" s="9">
        <f ca="1">DATEDIF(E9, TODAY(), "Y")</f>
        <v>3</v>
      </c>
      <c r="J9" s="32">
        <v>0.1</v>
      </c>
      <c r="K9" s="10">
        <f>D9* J9</f>
        <v>4200</v>
      </c>
    </row>
    <row r="10" spans="1:13" x14ac:dyDescent="0.25">
      <c r="A10" s="8" t="s">
        <v>56</v>
      </c>
      <c r="B10" s="8" t="s">
        <v>57</v>
      </c>
      <c r="C10" s="8" t="s">
        <v>48</v>
      </c>
      <c r="D10" s="7">
        <v>36000</v>
      </c>
      <c r="E10" s="21">
        <v>44724</v>
      </c>
      <c r="F10" s="9">
        <f>YEAR(E10)</f>
        <v>2022</v>
      </c>
      <c r="G10" s="9">
        <f t="shared" si="0"/>
        <v>6</v>
      </c>
      <c r="H10" s="9">
        <f>DAY(E10)</f>
        <v>12</v>
      </c>
      <c r="I10" s="9">
        <f ca="1">DATEDIF(E10, TODAY(), "Y")</f>
        <v>4</v>
      </c>
      <c r="J10" s="32">
        <v>0.1</v>
      </c>
      <c r="K10" s="10">
        <f>D10* J10</f>
        <v>3600</v>
      </c>
    </row>
    <row r="12" spans="1:13" ht="45" x14ac:dyDescent="0.25">
      <c r="A12" s="24" t="s">
        <v>61</v>
      </c>
      <c r="B12" s="25" t="s">
        <v>64</v>
      </c>
      <c r="D12" s="14" t="s">
        <v>62</v>
      </c>
      <c r="E12" s="15" t="s">
        <v>63</v>
      </c>
    </row>
    <row r="13" spans="1:13" x14ac:dyDescent="0.25">
      <c r="A13" s="18" t="s">
        <v>51</v>
      </c>
      <c r="B13" s="19" t="str">
        <f>INDEX(C4:C10,MATCH(A13,A4:A10,0))</f>
        <v>Finance</v>
      </c>
      <c r="D13" s="16" t="s">
        <v>43</v>
      </c>
      <c r="E13" s="17">
        <f>_xlfn.XMATCH(D13,A4:A10,0)</f>
        <v>2</v>
      </c>
    </row>
    <row r="14" spans="1:13" x14ac:dyDescent="0.25">
      <c r="A14" s="20" t="s">
        <v>46</v>
      </c>
      <c r="B14" s="17" t="str">
        <f>INDEX(C5:C11,MATCH(A14,A5:A11,0))</f>
        <v>Sales</v>
      </c>
    </row>
    <row r="16" spans="1:13" ht="30" x14ac:dyDescent="0.25">
      <c r="A16" s="22" t="s">
        <v>65</v>
      </c>
      <c r="B16" s="23" t="s">
        <v>66</v>
      </c>
      <c r="C16" s="23" t="s">
        <v>67</v>
      </c>
      <c r="D16" s="23" t="s">
        <v>68</v>
      </c>
      <c r="E16" s="23" t="s">
        <v>69</v>
      </c>
      <c r="F16" s="23" t="s">
        <v>70</v>
      </c>
      <c r="G16" s="23"/>
      <c r="H16" s="23" t="s">
        <v>71</v>
      </c>
    </row>
    <row r="17" spans="1:8" x14ac:dyDescent="0.25">
      <c r="A17" s="9" t="s">
        <v>55</v>
      </c>
      <c r="B17" s="9" t="str">
        <f>UPPER(A17)</f>
        <v>RIYA SHAH</v>
      </c>
      <c r="C17" s="9" t="str">
        <f>LOWER(A17)</f>
        <v>riya shah</v>
      </c>
      <c r="D17" s="9" t="str">
        <f>PROPER(A17)</f>
        <v>Riya Shah</v>
      </c>
      <c r="E17" s="9" t="str">
        <f>LEFT(A17,3)</f>
        <v>Riy</v>
      </c>
      <c r="F17" s="9" t="str">
        <f>RIGHT(A17,3)</f>
        <v>hah</v>
      </c>
      <c r="G17" s="9"/>
      <c r="H17" s="9">
        <f>LEN(A17)</f>
        <v>9</v>
      </c>
    </row>
    <row r="21" spans="1:8" x14ac:dyDescent="0.25">
      <c r="A21" s="9" t="s">
        <v>72</v>
      </c>
      <c r="B21" s="9"/>
      <c r="D21" s="9" t="s">
        <v>74</v>
      </c>
    </row>
    <row r="22" spans="1:8" x14ac:dyDescent="0.25">
      <c r="A22" s="9">
        <f>SUMIFS(D4:D10, C4:C10, "IT")</f>
        <v>97000</v>
      </c>
      <c r="B22" s="9"/>
      <c r="D22" s="9">
        <f>AVERAGEIFS(D4:D10, C4:C10, "IT")</f>
        <v>48500</v>
      </c>
    </row>
    <row r="25" spans="1:8" x14ac:dyDescent="0.25">
      <c r="A25" s="23" t="s">
        <v>73</v>
      </c>
      <c r="B25" s="23"/>
    </row>
    <row r="26" spans="1:8" x14ac:dyDescent="0.25">
      <c r="A26" s="9">
        <f>SUMIFS(D4:D10,C4:C10,"HR")</f>
        <v>82000</v>
      </c>
    </row>
    <row r="28" spans="1:8" x14ac:dyDescent="0.25">
      <c r="A28" s="23" t="s">
        <v>88</v>
      </c>
      <c r="B28" s="9" t="str">
        <f ca="1">OFFSET(B2,2,0)</f>
        <v>Rahul Sharma</v>
      </c>
    </row>
    <row r="32" spans="1:8" x14ac:dyDescent="0.25">
      <c r="A32">
        <f>_xlfn.XMATCH(H2,A2:A8,0)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product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Nensi Ray</dc:creator>
  <cp:lastModifiedBy>Nensi Ray</cp:lastModifiedBy>
  <dcterms:created xsi:type="dcterms:W3CDTF">2026-09-29T12:26:29Z</dcterms:created>
  <dcterms:modified xsi:type="dcterms:W3CDTF">2026-10-02T11:26:49Z</dcterms:modified>
</cp:coreProperties>
</file>